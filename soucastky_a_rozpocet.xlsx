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6e3544fdce7c15/Plocha/github/"/>
    </mc:Choice>
  </mc:AlternateContent>
  <xr:revisionPtr revIDLastSave="144" documentId="8_{51BF499D-473B-4092-865A-79F60F540CFF}" xr6:coauthVersionLast="47" xr6:coauthVersionMax="47" xr10:uidLastSave="{42173974-CD15-4DEA-BBFF-B9AC3970C731}"/>
  <bookViews>
    <workbookView xWindow="-16695" yWindow="6810" windowWidth="18510" windowHeight="10740" xr2:uid="{7F5476F6-5023-495A-AFB7-58F85D368A1D}"/>
  </bookViews>
  <sheets>
    <sheet name="rozpocet" sheetId="1" r:id="rId1"/>
    <sheet name="zdroje na zboží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4" i="1"/>
  <c r="D9" i="1" s="1"/>
</calcChain>
</file>

<file path=xl/sharedStrings.xml><?xml version="1.0" encoding="utf-8"?>
<sst xmlns="http://schemas.openxmlformats.org/spreadsheetml/2006/main" count="57" uniqueCount="46">
  <si>
    <t>název</t>
  </si>
  <si>
    <t>ESP32-S3 Pico</t>
  </si>
  <si>
    <t>NFC tag</t>
  </si>
  <si>
    <t>převodník z 5V na 3,3V</t>
  </si>
  <si>
    <t>zesilovač</t>
  </si>
  <si>
    <t>Cena AL</t>
  </si>
  <si>
    <t>Cena CZ</t>
  </si>
  <si>
    <t>3D tisk</t>
  </si>
  <si>
    <t>(1m = 5 Kč) 1.39 m</t>
  </si>
  <si>
    <t>-</t>
  </si>
  <si>
    <t>poznámka</t>
  </si>
  <si>
    <t>8x8 LED</t>
  </si>
  <si>
    <t>reproduktor 50mm</t>
  </si>
  <si>
    <t>ceny k 29.4.2025</t>
  </si>
  <si>
    <t>4 mm překližka topolová</t>
  </si>
  <si>
    <t>4 mm překližka buková</t>
  </si>
  <si>
    <t>Níže jsou součástky, které nám zbyly ze soutěže a bylo zbytečné znovu objednávat.</t>
  </si>
  <si>
    <t>Kit 8x8 red LED matrix SMD MAX7219 | LaskaKit</t>
  </si>
  <si>
    <t>Waveshare ESP32-S3 Pico, s připájenými piny - RPishop.cz</t>
  </si>
  <si>
    <t>Repro 50mm YD50-1, papír, 8ohm/0,5W</t>
  </si>
  <si>
    <t>Cuprextit 200x150x1,5mm, jednostranný, materiál FR4 35um</t>
  </si>
  <si>
    <t>Jumper lišta 1x40pin s roztečí 2,54mm pro PCB</t>
  </si>
  <si>
    <t>Dupont konektory 1-8pin s roztečí 2,54mm pro PCB, sada 310ks</t>
  </si>
  <si>
    <t>Kabel plochý Dupont 26AWG 40x0,14mm2, šířka 55mm /PNLY/ : H A D E X , spol. s r.o.</t>
  </si>
  <si>
    <t>Převodník log.úrovně IIC/I2C 5V na 3,3V</t>
  </si>
  <si>
    <t>MAX98357 I2S mono zesilovač 3W | LaskaKit</t>
  </si>
  <si>
    <t>Druchema Lihové mořidlo- Nejlevnější-Barvy-Laky.cz</t>
  </si>
  <si>
    <t>Transparentní fólie na světla - kouřová světlá</t>
  </si>
  <si>
    <t>Podložky pod nábytek EGET 100 ks plsť | JYSK</t>
  </si>
  <si>
    <t>do ceny se nepočítá poštovné</t>
  </si>
  <si>
    <t>Zesilovač ve třídě D 2x3W, modul PAM8403</t>
  </si>
  <si>
    <t>RGB LED modul 8bit Neopixel s WS2812</t>
  </si>
  <si>
    <t>Mikrospínač 6x6mm v13,5mm</t>
  </si>
  <si>
    <t>Filamenty kat. I (PLA, PETG, ABS, ASA)</t>
  </si>
  <si>
    <t>https://www.aliexpress.com/item/1005006044079239.html</t>
  </si>
  <si>
    <t>https://www.aliexpress.com/item/1005006885846600.html</t>
  </si>
  <si>
    <t>https://www.aliexpress.com/item/1005006444083849.html</t>
  </si>
  <si>
    <t>https://www.aliexpress.com/item/1005007446914171.html</t>
  </si>
  <si>
    <t>https://www.aliexpress.com/item/1005006969255116.html</t>
  </si>
  <si>
    <t>https://www.aliexpress.com/item/1005006168823763.html</t>
  </si>
  <si>
    <t>lihové mořidlo</t>
  </si>
  <si>
    <t>fólie na světla (kouřová světlá)</t>
  </si>
  <si>
    <t>podložky pod nábytek</t>
  </si>
  <si>
    <t>cuprextit</t>
  </si>
  <si>
    <t xml:space="preserve">dupont konektory </t>
  </si>
  <si>
    <t>kabel plochý Dupont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</si>
</sst>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\ [$Kč-405]_-;\-* #,##0.00\ [$Kč-405]_-;_-* &quot;-&quot;??\ [$Kč-405]_-;_-@_-"/>
  </numFmts>
  <fonts count="12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rgb="FFC00000"/>
      <name val="Aptos Narrow"/>
      <family val="2"/>
      <charset val="238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u/>
      <sz val="10"/>
      <color theme="3" tint="0.249977111117893"/>
      <name val="Arial"/>
      <family val="2"/>
      <charset val="238"/>
    </font>
    <font>
      <u/>
      <sz val="11"/>
      <color theme="3" tint="0.249977111117893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167" fontId="2" fillId="0" borderId="0" xfId="0" applyNumberFormat="1" applyFont="1"/>
    <xf numFmtId="167" fontId="0" fillId="0" borderId="0" xfId="0" applyNumberFormat="1"/>
    <xf numFmtId="167" fontId="6" fillId="0" borderId="0" xfId="0" applyNumberFormat="1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167" fontId="7" fillId="0" borderId="2" xfId="0" applyNumberFormat="1" applyFont="1" applyBorder="1" applyAlignment="1">
      <alignment horizontal="right"/>
    </xf>
    <xf numFmtId="167" fontId="6" fillId="0" borderId="3" xfId="0" applyNumberFormat="1" applyFont="1" applyBorder="1" applyAlignment="1">
      <alignment horizontal="right"/>
    </xf>
    <xf numFmtId="167" fontId="7" fillId="0" borderId="0" xfId="0" applyNumberFormat="1" applyFont="1" applyBorder="1" applyAlignment="1">
      <alignment horizontal="right"/>
    </xf>
    <xf numFmtId="167" fontId="6" fillId="0" borderId="5" xfId="0" applyNumberFormat="1" applyFont="1" applyBorder="1" applyAlignment="1">
      <alignment horizontal="right"/>
    </xf>
    <xf numFmtId="167" fontId="8" fillId="0" borderId="7" xfId="0" applyNumberFormat="1" applyFont="1" applyBorder="1" applyAlignment="1">
      <alignment horizontal="right"/>
    </xf>
    <xf numFmtId="167" fontId="5" fillId="0" borderId="8" xfId="0" applyNumberFormat="1" applyFont="1" applyBorder="1" applyAlignment="1">
      <alignment horizontal="right"/>
    </xf>
    <xf numFmtId="167" fontId="4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7" fontId="1" fillId="0" borderId="2" xfId="0" applyNumberFormat="1" applyFont="1" applyBorder="1" applyAlignment="1">
      <alignment horizontal="right"/>
    </xf>
    <xf numFmtId="167" fontId="1" fillId="0" borderId="0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7" fontId="6" fillId="0" borderId="8" xfId="0" applyNumberFormat="1" applyFont="1" applyBorder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1" applyFon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dex.cz/d450-jumper-lista-1x40pin-s-rozteci-254mm-pro-pcb/" TargetMode="External"/><Relationship Id="rId13" Type="http://schemas.openxmlformats.org/officeDocument/2006/relationships/hyperlink" Target="https://www.nejlevnejsi-barvy-laky.cz/druchema-lihove-moridlo-kastan-tmavy-500-ml" TargetMode="External"/><Relationship Id="rId18" Type="http://schemas.openxmlformats.org/officeDocument/2006/relationships/hyperlink" Target="https://shop.fablabbrno.cz/filamenty-kat-i-pla-petg-abs-asa" TargetMode="External"/><Relationship Id="rId3" Type="http://schemas.openxmlformats.org/officeDocument/2006/relationships/hyperlink" Target="https://www.hadex.cz/m422-zesilovac-ve-tride-d-2x3w-modul-pam8403/" TargetMode="External"/><Relationship Id="rId21" Type="http://schemas.openxmlformats.org/officeDocument/2006/relationships/hyperlink" Target="https://www.aliexpress.com/item/1005006885846600.html" TargetMode="External"/><Relationship Id="rId7" Type="http://schemas.openxmlformats.org/officeDocument/2006/relationships/hyperlink" Target="https://www.hadex.cz/l360-mikrospinac--6x6mm-v135mm/" TargetMode="External"/><Relationship Id="rId12" Type="http://schemas.openxmlformats.org/officeDocument/2006/relationships/hyperlink" Target="https://www.laskakit.cz/max98357-i2s-mono-zesilovac-3w/" TargetMode="External"/><Relationship Id="rId17" Type="http://schemas.openxmlformats.org/officeDocument/2006/relationships/hyperlink" Target="https://jysk.cz/obyvaci-pokoj/doplnky-k-nabytku/podlozky-pod-nabytek-eget-100-ks-plst" TargetMode="External"/><Relationship Id="rId2" Type="http://schemas.openxmlformats.org/officeDocument/2006/relationships/hyperlink" Target="https://rpishop.cz/esp32-a-esp8266/6397-waveshare-esp32-s3-pico-s-pripajenymi-piny.html" TargetMode="External"/><Relationship Id="rId16" Type="http://schemas.openxmlformats.org/officeDocument/2006/relationships/hyperlink" Target="https://www.autio.cz/36418-transparentni-folie-na-svetla-kourova-svetla.html?gad_source=1&amp;gclid=cj0kcqjw2zfabhdbarisahftxgyae-ftxczmjwple2xl19_c-puazhs8ripjrymszeodul-yg2kvnu0aarx7ealw_wcb" TargetMode="External"/><Relationship Id="rId20" Type="http://schemas.openxmlformats.org/officeDocument/2006/relationships/hyperlink" Target="https://www.aliexpress.com/item/1005006444083849.html" TargetMode="External"/><Relationship Id="rId1" Type="http://schemas.openxmlformats.org/officeDocument/2006/relationships/hyperlink" Target="https://www.laskakit.cz/en/stavebnice-8x8-cervena-led-matice-smd-max7219/" TargetMode="External"/><Relationship Id="rId6" Type="http://schemas.openxmlformats.org/officeDocument/2006/relationships/hyperlink" Target="https://www.hadex.cz/s004a-cuprextit-200x150x15mm-jednostranny-material-fr4-35um/" TargetMode="External"/><Relationship Id="rId11" Type="http://schemas.openxmlformats.org/officeDocument/2006/relationships/hyperlink" Target="https://www.hadex.cz/m436-prevodnik-logurovne-iici2c-5v-na-33v/" TargetMode="External"/><Relationship Id="rId24" Type="http://schemas.openxmlformats.org/officeDocument/2006/relationships/hyperlink" Target="https://www.aliexpress.com/item/1005006168823763.html" TargetMode="External"/><Relationship Id="rId5" Type="http://schemas.openxmlformats.org/officeDocument/2006/relationships/hyperlink" Target="https://www.hadex.cz/m504d-rgb-led-modul-8bit-neopixel-s-ws2812/" TargetMode="External"/><Relationship Id="rId15" Type="http://schemas.openxmlformats.org/officeDocument/2006/relationships/hyperlink" Target="https://shop.fablabbrno.cz/drevo/4-mm-preklizka-bukova_p108" TargetMode="External"/><Relationship Id="rId23" Type="http://schemas.openxmlformats.org/officeDocument/2006/relationships/hyperlink" Target="https://www.aliexpress.com/item/1005006969255116.html" TargetMode="External"/><Relationship Id="rId10" Type="http://schemas.openxmlformats.org/officeDocument/2006/relationships/hyperlink" Target="https://www.hadex.cz/n317-kabel-plochy-dupont--26awg-40x014mm2-sirka-55mm--pnly/" TargetMode="External"/><Relationship Id="rId19" Type="http://schemas.openxmlformats.org/officeDocument/2006/relationships/hyperlink" Target="https://www.aliexpress.com/item/1005006044079239.html" TargetMode="External"/><Relationship Id="rId4" Type="http://schemas.openxmlformats.org/officeDocument/2006/relationships/hyperlink" Target="https://www.hadex.cz/q002-repro-50mm-yd50-1-papir-8ohm05w/" TargetMode="External"/><Relationship Id="rId9" Type="http://schemas.openxmlformats.org/officeDocument/2006/relationships/hyperlink" Target="https://www.hadex.cz/d453-dupont-konektory-1-8pin-s-rozteci-254mm-pro-pcb-sada-310ks/" TargetMode="External"/><Relationship Id="rId14" Type="http://schemas.openxmlformats.org/officeDocument/2006/relationships/hyperlink" Target="https://shop.fablabbrno.cz/4-mm-preklizka-topolova" TargetMode="External"/><Relationship Id="rId22" Type="http://schemas.openxmlformats.org/officeDocument/2006/relationships/hyperlink" Target="https://www.aliexpress.com/item/100500744691417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146E-F553-48C3-AFE2-4B3C5084515E}">
  <dimension ref="B1:E23"/>
  <sheetViews>
    <sheetView tabSelected="1" zoomScale="130" zoomScaleNormal="130" workbookViewId="0">
      <selection activeCell="B24" sqref="B24"/>
    </sheetView>
  </sheetViews>
  <sheetFormatPr defaultRowHeight="14.6" x14ac:dyDescent="0.4"/>
  <cols>
    <col min="1" max="1" width="4.69140625" customWidth="1"/>
    <col min="2" max="2" width="28" customWidth="1"/>
    <col min="3" max="3" width="12.3828125" style="3" customWidth="1"/>
    <col min="4" max="4" width="10.15234375" style="4" bestFit="1" customWidth="1"/>
    <col min="5" max="5" width="27" customWidth="1"/>
  </cols>
  <sheetData>
    <row r="1" spans="2:5" ht="8.6" customHeight="1" x14ac:dyDescent="0.4"/>
    <row r="2" spans="2:5" ht="15" thickBot="1" x14ac:dyDescent="0.45">
      <c r="B2" s="1" t="s">
        <v>0</v>
      </c>
      <c r="C2" s="2" t="s">
        <v>5</v>
      </c>
      <c r="D2" s="2" t="s">
        <v>6</v>
      </c>
      <c r="E2" s="1" t="s">
        <v>10</v>
      </c>
    </row>
    <row r="3" spans="2:5" x14ac:dyDescent="0.4">
      <c r="B3" s="5" t="s">
        <v>1</v>
      </c>
      <c r="C3" s="8">
        <v>220.01</v>
      </c>
      <c r="D3" s="9">
        <v>299</v>
      </c>
    </row>
    <row r="4" spans="2:5" x14ac:dyDescent="0.4">
      <c r="B4" s="6" t="s">
        <v>11</v>
      </c>
      <c r="C4" s="10">
        <v>237.4</v>
      </c>
      <c r="D4" s="11">
        <f>4*58</f>
        <v>232</v>
      </c>
    </row>
    <row r="5" spans="2:5" x14ac:dyDescent="0.4">
      <c r="B5" s="6" t="s">
        <v>12</v>
      </c>
      <c r="C5" s="10">
        <v>36.82</v>
      </c>
      <c r="D5" s="11">
        <v>14</v>
      </c>
    </row>
    <row r="6" spans="2:5" x14ac:dyDescent="0.4">
      <c r="B6" s="6" t="s">
        <v>2</v>
      </c>
      <c r="C6" s="10">
        <v>3.43</v>
      </c>
      <c r="D6" s="11" t="s">
        <v>9</v>
      </c>
    </row>
    <row r="7" spans="2:5" x14ac:dyDescent="0.4">
      <c r="B7" s="6" t="s">
        <v>3</v>
      </c>
      <c r="C7" s="10">
        <v>21.48</v>
      </c>
      <c r="D7" s="11">
        <v>24</v>
      </c>
    </row>
    <row r="8" spans="2:5" x14ac:dyDescent="0.4">
      <c r="B8" s="6" t="s">
        <v>4</v>
      </c>
      <c r="C8" s="10">
        <v>52.96</v>
      </c>
      <c r="D8" s="11">
        <v>68</v>
      </c>
    </row>
    <row r="9" spans="2:5" ht="15" thickBot="1" x14ac:dyDescent="0.45">
      <c r="B9" s="7"/>
      <c r="C9" s="12">
        <f>SUM(C3:C8)</f>
        <v>572.1</v>
      </c>
      <c r="D9" s="13">
        <f>SUM(D3:D8)</f>
        <v>637</v>
      </c>
    </row>
    <row r="10" spans="2:5" x14ac:dyDescent="0.4">
      <c r="C10" s="14"/>
      <c r="D10" s="15"/>
    </row>
    <row r="11" spans="2:5" x14ac:dyDescent="0.4">
      <c r="C11" s="14"/>
      <c r="D11" s="15"/>
    </row>
    <row r="12" spans="2:5" ht="15" thickBot="1" x14ac:dyDescent="0.45">
      <c r="C12" s="14"/>
      <c r="D12" s="15"/>
      <c r="E12" t="s">
        <v>16</v>
      </c>
    </row>
    <row r="13" spans="2:5" x14ac:dyDescent="0.4">
      <c r="B13" s="5" t="s">
        <v>40</v>
      </c>
      <c r="C13" s="16" t="s">
        <v>9</v>
      </c>
      <c r="D13" s="9">
        <v>111</v>
      </c>
    </row>
    <row r="14" spans="2:5" x14ac:dyDescent="0.4">
      <c r="B14" s="6" t="s">
        <v>14</v>
      </c>
      <c r="C14" s="17" t="s">
        <v>9</v>
      </c>
      <c r="D14" s="11">
        <v>130</v>
      </c>
    </row>
    <row r="15" spans="2:5" x14ac:dyDescent="0.4">
      <c r="B15" s="6" t="s">
        <v>15</v>
      </c>
      <c r="C15" s="17" t="s">
        <v>9</v>
      </c>
      <c r="D15" s="11">
        <v>130</v>
      </c>
    </row>
    <row r="16" spans="2:5" x14ac:dyDescent="0.4">
      <c r="B16" s="6" t="s">
        <v>7</v>
      </c>
      <c r="C16" s="17" t="s">
        <v>9</v>
      </c>
      <c r="D16" s="11">
        <v>6.95</v>
      </c>
      <c r="E16" t="s">
        <v>8</v>
      </c>
    </row>
    <row r="17" spans="2:5" x14ac:dyDescent="0.4">
      <c r="B17" s="6" t="s">
        <v>41</v>
      </c>
      <c r="C17" s="17" t="s">
        <v>9</v>
      </c>
      <c r="D17" s="11">
        <v>129</v>
      </c>
    </row>
    <row r="18" spans="2:5" x14ac:dyDescent="0.4">
      <c r="B18" s="6" t="s">
        <v>42</v>
      </c>
      <c r="C18" s="17" t="s">
        <v>9</v>
      </c>
      <c r="D18" s="11">
        <v>65</v>
      </c>
    </row>
    <row r="19" spans="2:5" x14ac:dyDescent="0.4">
      <c r="B19" s="6" t="s">
        <v>43</v>
      </c>
      <c r="C19" s="17" t="s">
        <v>9</v>
      </c>
      <c r="D19" s="11">
        <v>49</v>
      </c>
    </row>
    <row r="20" spans="2:5" x14ac:dyDescent="0.4">
      <c r="B20" s="6" t="s">
        <v>44</v>
      </c>
      <c r="C20" s="17" t="s">
        <v>9</v>
      </c>
      <c r="D20" s="11">
        <v>99</v>
      </c>
    </row>
    <row r="21" spans="2:5" ht="15" thickBot="1" x14ac:dyDescent="0.45">
      <c r="B21" s="7" t="s">
        <v>45</v>
      </c>
      <c r="C21" s="18" t="s">
        <v>9</v>
      </c>
      <c r="D21" s="19">
        <v>40</v>
      </c>
    </row>
    <row r="22" spans="2:5" x14ac:dyDescent="0.4">
      <c r="E22" s="1" t="s">
        <v>13</v>
      </c>
    </row>
    <row r="23" spans="2:5" x14ac:dyDescent="0.4">
      <c r="E23" s="20" t="s">
        <v>29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1D9E-3AE9-4123-887D-5920CE5B4A00}">
  <dimension ref="A1:A24"/>
  <sheetViews>
    <sheetView workbookViewId="0">
      <selection activeCell="A25" sqref="A25"/>
    </sheetView>
  </sheetViews>
  <sheetFormatPr defaultRowHeight="14.6" x14ac:dyDescent="0.4"/>
  <cols>
    <col min="1" max="1" width="151.15234375" customWidth="1"/>
  </cols>
  <sheetData>
    <row r="1" spans="1:1" x14ac:dyDescent="0.4">
      <c r="A1" s="21" t="s">
        <v>17</v>
      </c>
    </row>
    <row r="2" spans="1:1" x14ac:dyDescent="0.4">
      <c r="A2" s="21" t="s">
        <v>18</v>
      </c>
    </row>
    <row r="3" spans="1:1" x14ac:dyDescent="0.4">
      <c r="A3" s="21" t="s">
        <v>30</v>
      </c>
    </row>
    <row r="4" spans="1:1" x14ac:dyDescent="0.4">
      <c r="A4" s="21" t="s">
        <v>19</v>
      </c>
    </row>
    <row r="5" spans="1:1" x14ac:dyDescent="0.4">
      <c r="A5" s="21" t="s">
        <v>31</v>
      </c>
    </row>
    <row r="6" spans="1:1" ht="15.45" customHeight="1" x14ac:dyDescent="0.4">
      <c r="A6" s="21" t="s">
        <v>20</v>
      </c>
    </row>
    <row r="7" spans="1:1" x14ac:dyDescent="0.4">
      <c r="A7" s="21" t="s">
        <v>32</v>
      </c>
    </row>
    <row r="8" spans="1:1" x14ac:dyDescent="0.4">
      <c r="A8" s="21" t="s">
        <v>21</v>
      </c>
    </row>
    <row r="9" spans="1:1" x14ac:dyDescent="0.4">
      <c r="A9" s="21" t="s">
        <v>22</v>
      </c>
    </row>
    <row r="10" spans="1:1" x14ac:dyDescent="0.4">
      <c r="A10" s="21" t="s">
        <v>23</v>
      </c>
    </row>
    <row r="11" spans="1:1" x14ac:dyDescent="0.4">
      <c r="A11" s="21" t="s">
        <v>24</v>
      </c>
    </row>
    <row r="12" spans="1:1" x14ac:dyDescent="0.4">
      <c r="A12" s="21" t="s">
        <v>25</v>
      </c>
    </row>
    <row r="13" spans="1:1" x14ac:dyDescent="0.4">
      <c r="A13" s="21" t="s">
        <v>26</v>
      </c>
    </row>
    <row r="14" spans="1:1" x14ac:dyDescent="0.4">
      <c r="A14" s="21" t="s">
        <v>14</v>
      </c>
    </row>
    <row r="15" spans="1:1" x14ac:dyDescent="0.4">
      <c r="A15" s="21" t="s">
        <v>15</v>
      </c>
    </row>
    <row r="16" spans="1:1" x14ac:dyDescent="0.4">
      <c r="A16" s="22" t="s">
        <v>33</v>
      </c>
    </row>
    <row r="17" spans="1:1" x14ac:dyDescent="0.4">
      <c r="A17" s="21" t="s">
        <v>27</v>
      </c>
    </row>
    <row r="18" spans="1:1" x14ac:dyDescent="0.4">
      <c r="A18" s="21" t="s">
        <v>28</v>
      </c>
    </row>
    <row r="19" spans="1:1" x14ac:dyDescent="0.4">
      <c r="A19" s="22" t="s">
        <v>34</v>
      </c>
    </row>
    <row r="20" spans="1:1" x14ac:dyDescent="0.4">
      <c r="A20" s="22" t="s">
        <v>35</v>
      </c>
    </row>
    <row r="21" spans="1:1" x14ac:dyDescent="0.4">
      <c r="A21" s="22" t="s">
        <v>36</v>
      </c>
    </row>
    <row r="22" spans="1:1" x14ac:dyDescent="0.4">
      <c r="A22" s="22" t="s">
        <v>37</v>
      </c>
    </row>
    <row r="23" spans="1:1" x14ac:dyDescent="0.4">
      <c r="A23" s="22" t="s">
        <v>38</v>
      </c>
    </row>
    <row r="24" spans="1:1" x14ac:dyDescent="0.4">
      <c r="A24" s="22" t="s">
        <v>39</v>
      </c>
    </row>
  </sheetData>
  <hyperlinks>
    <hyperlink ref="A1" r:id="rId1" xr:uid="{B2C6EF30-777D-4B19-B5FD-C71FC64327E8}"/>
    <hyperlink ref="A2" r:id="rId2" xr:uid="{1243104E-382C-47E2-8BBC-065546D82F7F}"/>
    <hyperlink ref="A3" r:id="rId3" xr:uid="{56EE2B5B-AF49-4924-9F3C-FFBADDB490AC}"/>
    <hyperlink ref="A4" r:id="rId4" xr:uid="{0EC28421-2552-4954-BF31-46E3D0A7200C}"/>
    <hyperlink ref="A5" r:id="rId5" xr:uid="{E939799F-B7EB-4274-8F46-BB7C99DADD9A}"/>
    <hyperlink ref="A6" r:id="rId6" xr:uid="{AACBD7E9-5545-40A5-8DCE-692556C6D0F1}"/>
    <hyperlink ref="A7" r:id="rId7" xr:uid="{33CAA83C-C2EE-4A92-BFDC-F0194B56A7AC}"/>
    <hyperlink ref="A8" r:id="rId8" xr:uid="{CDFE570D-1F90-4060-A7C6-5847445DD736}"/>
    <hyperlink ref="A9" r:id="rId9" xr:uid="{7046A593-A4A1-42AF-83DD-64322E2D1A62}"/>
    <hyperlink ref="A10" r:id="rId10" xr:uid="{FC18CABB-B954-46CC-BEA3-7DC103C77A7D}"/>
    <hyperlink ref="A11" r:id="rId11" xr:uid="{AF626AD4-CB6B-45FB-B779-92FF3DC0B97D}"/>
    <hyperlink ref="A12" r:id="rId12" xr:uid="{510DCC88-B28D-4861-B48D-C457EFFF3D47}"/>
    <hyperlink ref="A13" r:id="rId13" xr:uid="{65AB50BA-DD0A-4F3B-89D9-472644A456B0}"/>
    <hyperlink ref="A14" r:id="rId14" xr:uid="{21D7D4F4-5D0A-40DF-8B50-DAF062E085E0}"/>
    <hyperlink ref="A15" r:id="rId15" xr:uid="{644BE41C-151F-4280-81DD-98BCF20EBC5A}"/>
    <hyperlink ref="A17" r:id="rId16" xr:uid="{42E5953B-3753-44EA-96D5-2327D7E054BD}"/>
    <hyperlink ref="A18" r:id="rId17" xr:uid="{42421223-6D19-425E-B9A7-81802F4D9332}"/>
    <hyperlink ref="A16" r:id="rId18" xr:uid="{526A6D37-12B1-4FCD-A91E-481336CE2F46}"/>
    <hyperlink ref="A19" r:id="rId19" xr:uid="{B10A1616-9A97-4244-BE9D-1CF27E3ADA9A}"/>
    <hyperlink ref="A21" r:id="rId20" xr:uid="{04C85AA7-3273-4FC9-A453-0BF5F0B73A22}"/>
    <hyperlink ref="A20" r:id="rId21" xr:uid="{78DE7871-8310-4D23-B15F-08E8E566D0FE}"/>
    <hyperlink ref="A22" r:id="rId22" xr:uid="{AF8C621B-1FD2-474C-B008-F284D3188D87}"/>
    <hyperlink ref="A23" r:id="rId23" xr:uid="{9E43C8AE-4558-499D-AB91-1D789B9EB5DB}"/>
    <hyperlink ref="A24" r:id="rId24" xr:uid="{47720D7D-3F27-4BE5-BBD8-8EC12998880F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rozpocet</vt:lpstr>
      <vt:lpstr>zdroje na zboží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Vítek</dc:creator>
  <cp:lastModifiedBy>Jiří Vítek</cp:lastModifiedBy>
  <dcterms:created xsi:type="dcterms:W3CDTF">2026-02-14T10:31:10Z</dcterms:created>
  <dcterms:modified xsi:type="dcterms:W3CDTF">2026-02-14T11:12:17Z</dcterms:modified>
</cp:coreProperties>
</file>